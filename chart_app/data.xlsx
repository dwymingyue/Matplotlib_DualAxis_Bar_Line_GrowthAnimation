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jupyter\Matplotlib_DualAxis_Bar_Line_GrowthAnimation\"/>
    </mc:Choice>
  </mc:AlternateContent>
  <bookViews>
    <workbookView xWindow="0" yWindow="0" windowWidth="22400" windowHeight="10090" activeTab="3"/>
  </bookViews>
  <sheets>
    <sheet name="常住人口" sheetId="1" r:id="rId1"/>
    <sheet name="城镇常住人口" sheetId="3" r:id="rId2"/>
    <sheet name="农村常住人口" sheetId="4" r:id="rId3"/>
    <sheet name="GDP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E3" i="5"/>
  <c r="D3" i="5"/>
  <c r="E2" i="5"/>
  <c r="E2" i="4" l="1"/>
  <c r="D2" i="4"/>
  <c r="E3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3" i="4"/>
  <c r="C20" i="3"/>
  <c r="E3" i="3"/>
  <c r="E2" i="3"/>
  <c r="D3" i="3"/>
  <c r="D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3" i="3"/>
  <c r="C4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3" i="1"/>
</calcChain>
</file>

<file path=xl/sharedStrings.xml><?xml version="1.0" encoding="utf-8"?>
<sst xmlns="http://schemas.openxmlformats.org/spreadsheetml/2006/main" count="12" uniqueCount="5">
  <si>
    <t>year</t>
  </si>
  <si>
    <t>y</t>
    <phoneticPr fontId="1" type="noConversion"/>
  </si>
  <si>
    <t>dy</t>
    <phoneticPr fontId="1" type="noConversion"/>
  </si>
  <si>
    <t>year</t>
    <phoneticPr fontId="1" type="noConversion"/>
  </si>
  <si>
    <t>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</si>
</sst>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top"/>
      <protection locked="0"/>
    </xf>
  </cellStyleXfs>
  <cellXfs count="8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_1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E9" sqref="E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1982</v>
      </c>
      <c r="B2">
        <v>1974.88</v>
      </c>
    </row>
    <row r="3" spans="1:3" x14ac:dyDescent="0.3">
      <c r="A3">
        <v>1983</v>
      </c>
      <c r="B3">
        <v>1999.84</v>
      </c>
      <c r="C3" s="1">
        <f>B3-B2</f>
        <v>24.959999999999809</v>
      </c>
    </row>
    <row r="4" spans="1:3" x14ac:dyDescent="0.3">
      <c r="A4">
        <v>1984</v>
      </c>
      <c r="B4">
        <v>2025.88</v>
      </c>
      <c r="C4" s="1">
        <f t="shared" ref="C4:C43" si="0">B4-B3</f>
        <v>26.040000000000191</v>
      </c>
    </row>
    <row r="5" spans="1:3" x14ac:dyDescent="0.3">
      <c r="A5">
        <v>1985</v>
      </c>
      <c r="B5">
        <v>2052.89</v>
      </c>
      <c r="C5" s="1">
        <f t="shared" si="0"/>
        <v>27.009999999999764</v>
      </c>
    </row>
    <row r="6" spans="1:3" x14ac:dyDescent="0.3">
      <c r="A6">
        <v>1986</v>
      </c>
      <c r="B6">
        <v>2085.39</v>
      </c>
      <c r="C6" s="1">
        <f t="shared" si="0"/>
        <v>32.5</v>
      </c>
    </row>
    <row r="7" spans="1:3" x14ac:dyDescent="0.3">
      <c r="A7">
        <v>1987</v>
      </c>
      <c r="B7">
        <v>2115.73</v>
      </c>
      <c r="C7" s="1">
        <f t="shared" si="0"/>
        <v>30.340000000000146</v>
      </c>
    </row>
    <row r="8" spans="1:3" x14ac:dyDescent="0.3">
      <c r="A8">
        <v>1988</v>
      </c>
      <c r="B8">
        <v>2148.15</v>
      </c>
      <c r="C8" s="1">
        <f t="shared" si="0"/>
        <v>32.420000000000073</v>
      </c>
    </row>
    <row r="9" spans="1:3" x14ac:dyDescent="0.3">
      <c r="A9">
        <v>1989</v>
      </c>
      <c r="B9">
        <v>2184.86</v>
      </c>
      <c r="C9" s="1">
        <f t="shared" si="0"/>
        <v>36.710000000000036</v>
      </c>
    </row>
    <row r="10" spans="1:3" x14ac:dyDescent="0.3">
      <c r="A10">
        <v>1990</v>
      </c>
      <c r="B10">
        <v>2254.67</v>
      </c>
      <c r="C10" s="1">
        <f t="shared" si="0"/>
        <v>69.809999999999945</v>
      </c>
    </row>
    <row r="11" spans="1:3" x14ac:dyDescent="0.3">
      <c r="A11">
        <v>1991</v>
      </c>
      <c r="B11">
        <v>2284.92</v>
      </c>
      <c r="C11" s="1">
        <f t="shared" si="0"/>
        <v>30.25</v>
      </c>
    </row>
    <row r="12" spans="1:3" x14ac:dyDescent="0.3">
      <c r="A12">
        <v>1992</v>
      </c>
      <c r="B12">
        <v>2314.19</v>
      </c>
      <c r="C12" s="1">
        <f t="shared" si="0"/>
        <v>29.269999999999982</v>
      </c>
    </row>
    <row r="13" spans="1:3" x14ac:dyDescent="0.3">
      <c r="A13">
        <v>1993</v>
      </c>
      <c r="B13">
        <v>2345.23</v>
      </c>
      <c r="C13" s="1">
        <f t="shared" si="0"/>
        <v>31.039999999999964</v>
      </c>
    </row>
    <row r="14" spans="1:3" x14ac:dyDescent="0.3">
      <c r="A14">
        <v>1994</v>
      </c>
      <c r="B14">
        <v>2387.25</v>
      </c>
      <c r="C14" s="1">
        <f t="shared" si="0"/>
        <v>42.019999999999982</v>
      </c>
    </row>
    <row r="15" spans="1:3" x14ac:dyDescent="0.3">
      <c r="A15">
        <v>1995</v>
      </c>
      <c r="B15">
        <v>2437.9499999999998</v>
      </c>
      <c r="C15" s="1">
        <f t="shared" si="0"/>
        <v>50.699999999999818</v>
      </c>
    </row>
    <row r="16" spans="1:3" x14ac:dyDescent="0.3">
      <c r="A16">
        <v>1996</v>
      </c>
      <c r="B16">
        <v>2466.86</v>
      </c>
      <c r="C16" s="1">
        <f t="shared" si="0"/>
        <v>28.910000000000309</v>
      </c>
    </row>
    <row r="17" spans="1:3" x14ac:dyDescent="0.3">
      <c r="A17">
        <v>1997</v>
      </c>
      <c r="B17">
        <v>2494.1999999999998</v>
      </c>
      <c r="C17" s="1">
        <f t="shared" si="0"/>
        <v>27.339999999999691</v>
      </c>
    </row>
    <row r="18" spans="1:3" x14ac:dyDescent="0.3">
      <c r="A18">
        <v>1998</v>
      </c>
      <c r="B18">
        <v>2519.37</v>
      </c>
      <c r="C18" s="1">
        <f t="shared" si="0"/>
        <v>25.170000000000073</v>
      </c>
    </row>
    <row r="19" spans="1:3" x14ac:dyDescent="0.3">
      <c r="A19">
        <v>1999</v>
      </c>
      <c r="B19">
        <v>2542.58</v>
      </c>
      <c r="C19" s="1">
        <f t="shared" si="0"/>
        <v>23.210000000000036</v>
      </c>
    </row>
    <row r="20" spans="1:3" x14ac:dyDescent="0.3">
      <c r="A20">
        <v>2000</v>
      </c>
      <c r="B20">
        <v>2515.31</v>
      </c>
      <c r="C20" s="1">
        <f t="shared" si="0"/>
        <v>-27.269999999999982</v>
      </c>
    </row>
    <row r="21" spans="1:3" x14ac:dyDescent="0.3">
      <c r="A21">
        <v>2001</v>
      </c>
      <c r="B21">
        <v>2523.35</v>
      </c>
      <c r="C21" s="1">
        <f t="shared" si="0"/>
        <v>8.0399999999999636</v>
      </c>
    </row>
    <row r="22" spans="1:3" x14ac:dyDescent="0.3">
      <c r="A22">
        <v>2002</v>
      </c>
      <c r="B22">
        <v>2530.7600000000002</v>
      </c>
      <c r="C22" s="1">
        <f t="shared" si="0"/>
        <v>7.4100000000003092</v>
      </c>
    </row>
    <row r="23" spans="1:3" x14ac:dyDescent="0.3">
      <c r="A23">
        <v>2003</v>
      </c>
      <c r="B23">
        <v>2537.19</v>
      </c>
      <c r="C23" s="1">
        <f t="shared" si="0"/>
        <v>6.4299999999998363</v>
      </c>
    </row>
    <row r="24" spans="1:3" x14ac:dyDescent="0.3">
      <c r="A24">
        <v>2004</v>
      </c>
      <c r="B24">
        <v>2541.48</v>
      </c>
      <c r="C24" s="1">
        <f t="shared" si="0"/>
        <v>4.2899999999999636</v>
      </c>
    </row>
    <row r="25" spans="1:3" x14ac:dyDescent="0.3">
      <c r="A25">
        <v>2005</v>
      </c>
      <c r="B25">
        <v>2545.1</v>
      </c>
      <c r="C25" s="1">
        <f t="shared" si="0"/>
        <v>3.6199999999998909</v>
      </c>
    </row>
    <row r="26" spans="1:3" x14ac:dyDescent="0.3">
      <c r="A26">
        <v>2006</v>
      </c>
      <c r="B26">
        <v>2546.79</v>
      </c>
      <c r="C26" s="1">
        <f t="shared" si="0"/>
        <v>1.6900000000000546</v>
      </c>
    </row>
    <row r="27" spans="1:3" x14ac:dyDescent="0.3">
      <c r="A27">
        <v>2007</v>
      </c>
      <c r="B27">
        <v>2548.19</v>
      </c>
      <c r="C27" s="1">
        <f t="shared" si="0"/>
        <v>1.4000000000000909</v>
      </c>
    </row>
    <row r="28" spans="1:3" x14ac:dyDescent="0.3">
      <c r="A28">
        <v>2008</v>
      </c>
      <c r="B28">
        <v>2550.88</v>
      </c>
      <c r="C28" s="1">
        <f t="shared" si="0"/>
        <v>2.6900000000000546</v>
      </c>
    </row>
    <row r="29" spans="1:3" x14ac:dyDescent="0.3">
      <c r="A29">
        <v>2009</v>
      </c>
      <c r="B29">
        <v>2554.91</v>
      </c>
      <c r="C29" s="1">
        <f t="shared" si="0"/>
        <v>4.0299999999997453</v>
      </c>
    </row>
    <row r="30" spans="1:3" x14ac:dyDescent="0.3">
      <c r="A30">
        <v>2010</v>
      </c>
      <c r="B30">
        <v>2559.98</v>
      </c>
      <c r="C30" s="1">
        <f t="shared" si="0"/>
        <v>5.0700000000001637</v>
      </c>
    </row>
    <row r="31" spans="1:3" x14ac:dyDescent="0.3">
      <c r="A31">
        <v>2011</v>
      </c>
      <c r="B31">
        <v>2551.7297659999999</v>
      </c>
      <c r="C31" s="1">
        <f t="shared" si="0"/>
        <v>-8.2502340000000913</v>
      </c>
    </row>
    <row r="32" spans="1:3" x14ac:dyDescent="0.3">
      <c r="A32">
        <v>2012</v>
      </c>
      <c r="B32">
        <v>2550.1463530000001</v>
      </c>
      <c r="C32" s="1">
        <f t="shared" si="0"/>
        <v>-1.5834129999998368</v>
      </c>
    </row>
    <row r="33" spans="1:3" x14ac:dyDescent="0.3">
      <c r="A33">
        <v>2013</v>
      </c>
      <c r="B33">
        <v>2537.1279009999998</v>
      </c>
      <c r="C33" s="1">
        <f t="shared" si="0"/>
        <v>-13.018452000000252</v>
      </c>
    </row>
    <row r="34" spans="1:3" x14ac:dyDescent="0.3">
      <c r="A34">
        <v>2014</v>
      </c>
      <c r="B34">
        <v>2531.075758</v>
      </c>
      <c r="C34" s="1">
        <f t="shared" si="0"/>
        <v>-6.0521429999998873</v>
      </c>
    </row>
    <row r="35" spans="1:3" x14ac:dyDescent="0.3">
      <c r="A35">
        <v>2015</v>
      </c>
      <c r="B35">
        <v>2523.1846599999999</v>
      </c>
      <c r="C35" s="1">
        <f t="shared" si="0"/>
        <v>-7.8910980000000563</v>
      </c>
    </row>
    <row r="36" spans="1:3" x14ac:dyDescent="0.3">
      <c r="A36">
        <v>2016</v>
      </c>
      <c r="B36">
        <v>2520.0971709999999</v>
      </c>
      <c r="C36" s="1">
        <f t="shared" si="0"/>
        <v>-3.087489000000005</v>
      </c>
    </row>
    <row r="37" spans="1:3" x14ac:dyDescent="0.3">
      <c r="A37">
        <v>2017</v>
      </c>
      <c r="B37">
        <v>2522.0684390000001</v>
      </c>
      <c r="C37" s="1">
        <f t="shared" si="0"/>
        <v>1.9712680000002365</v>
      </c>
    </row>
    <row r="38" spans="1:3" x14ac:dyDescent="0.3">
      <c r="A38">
        <v>2018</v>
      </c>
      <c r="B38">
        <v>2515.080117</v>
      </c>
      <c r="C38" s="1">
        <f t="shared" si="0"/>
        <v>-6.9883220000001529</v>
      </c>
    </row>
    <row r="39" spans="1:3" x14ac:dyDescent="0.3">
      <c r="A39">
        <v>2019</v>
      </c>
      <c r="B39">
        <v>2509.017973</v>
      </c>
      <c r="C39" s="1">
        <f t="shared" si="0"/>
        <v>-6.0621439999999893</v>
      </c>
    </row>
    <row r="40" spans="1:3" x14ac:dyDescent="0.3">
      <c r="A40">
        <v>2020</v>
      </c>
      <c r="B40">
        <v>2501.02</v>
      </c>
      <c r="C40" s="1">
        <f t="shared" si="0"/>
        <v>-7.9979730000000018</v>
      </c>
    </row>
    <row r="41" spans="1:3" x14ac:dyDescent="0.3">
      <c r="A41">
        <v>2021</v>
      </c>
      <c r="B41">
        <v>2490.015668</v>
      </c>
      <c r="C41" s="1">
        <f t="shared" si="0"/>
        <v>-11.004331999999977</v>
      </c>
    </row>
    <row r="42" spans="1:3" x14ac:dyDescent="0.3">
      <c r="A42">
        <v>2022</v>
      </c>
      <c r="B42">
        <v>2492.42</v>
      </c>
      <c r="C42" s="1">
        <f t="shared" si="0"/>
        <v>2.4043320000000676</v>
      </c>
    </row>
    <row r="43" spans="1:3" x14ac:dyDescent="0.3">
      <c r="A43">
        <v>2023</v>
      </c>
      <c r="B43">
        <v>2465.4790109999999</v>
      </c>
      <c r="C43" s="1">
        <f t="shared" si="0"/>
        <v>-26.940989000000172</v>
      </c>
    </row>
    <row r="44" spans="1:3" x14ac:dyDescent="0.3">
      <c r="A44">
        <v>2024</v>
      </c>
      <c r="B44">
        <v>2458.3356939999999</v>
      </c>
      <c r="C44" s="1">
        <f>B44-B43</f>
        <v>-7.1433170000000246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G10" sqref="G10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s="2">
        <v>1982</v>
      </c>
      <c r="B2">
        <v>305.83</v>
      </c>
      <c r="D2" s="1">
        <f>MIN(B:B)</f>
        <v>305.83</v>
      </c>
      <c r="E2" s="1">
        <f>MIN(C:C)</f>
        <v>0.75</v>
      </c>
    </row>
    <row r="3" spans="1:5" x14ac:dyDescent="0.3">
      <c r="A3" s="2">
        <v>1983</v>
      </c>
      <c r="B3">
        <v>324.91000000000003</v>
      </c>
      <c r="C3" s="1">
        <f>B3-B2</f>
        <v>19.080000000000041</v>
      </c>
      <c r="D3" s="1">
        <f>MAX(B:B)</f>
        <v>1397.0279999772899</v>
      </c>
      <c r="E3" s="3">
        <f>MAX(C:C)</f>
        <v>90.480000000000018</v>
      </c>
    </row>
    <row r="4" spans="1:5" x14ac:dyDescent="0.3">
      <c r="A4" s="2">
        <v>1984</v>
      </c>
      <c r="B4">
        <v>345.18</v>
      </c>
      <c r="C4" s="1">
        <f t="shared" ref="C4:C44" si="0">B4-B3</f>
        <v>20.269999999999982</v>
      </c>
    </row>
    <row r="5" spans="1:5" x14ac:dyDescent="0.3">
      <c r="A5" s="2">
        <v>1985</v>
      </c>
      <c r="B5">
        <v>366.71</v>
      </c>
      <c r="C5" s="1">
        <f t="shared" si="0"/>
        <v>21.529999999999973</v>
      </c>
    </row>
    <row r="6" spans="1:5" x14ac:dyDescent="0.3">
      <c r="A6" s="2">
        <v>1986</v>
      </c>
      <c r="B6">
        <v>389.58</v>
      </c>
      <c r="C6" s="1">
        <f t="shared" si="0"/>
        <v>22.870000000000005</v>
      </c>
    </row>
    <row r="7" spans="1:5" x14ac:dyDescent="0.3">
      <c r="A7" s="2">
        <v>1987</v>
      </c>
      <c r="B7">
        <v>413.88</v>
      </c>
      <c r="C7" s="1">
        <f t="shared" si="0"/>
        <v>24.300000000000011</v>
      </c>
    </row>
    <row r="8" spans="1:5" x14ac:dyDescent="0.3">
      <c r="A8" s="2">
        <v>1988</v>
      </c>
      <c r="B8">
        <v>439.69</v>
      </c>
      <c r="C8" s="1">
        <f t="shared" si="0"/>
        <v>25.810000000000002</v>
      </c>
    </row>
    <row r="9" spans="1:5" x14ac:dyDescent="0.3">
      <c r="A9" s="2">
        <v>1989</v>
      </c>
      <c r="B9">
        <v>467.12</v>
      </c>
      <c r="C9" s="1">
        <f t="shared" si="0"/>
        <v>27.430000000000007</v>
      </c>
    </row>
    <row r="10" spans="1:5" x14ac:dyDescent="0.3">
      <c r="A10" s="2">
        <v>1990</v>
      </c>
      <c r="B10">
        <v>496.25</v>
      </c>
      <c r="C10" s="1">
        <f t="shared" si="0"/>
        <v>29.129999999999995</v>
      </c>
    </row>
    <row r="11" spans="1:5" x14ac:dyDescent="0.3">
      <c r="A11" s="2">
        <v>1991</v>
      </c>
      <c r="B11">
        <v>508.76</v>
      </c>
      <c r="C11" s="1">
        <f t="shared" si="0"/>
        <v>12.509999999999991</v>
      </c>
    </row>
    <row r="12" spans="1:5" x14ac:dyDescent="0.3">
      <c r="A12" s="2">
        <v>1992</v>
      </c>
      <c r="B12">
        <v>521.59</v>
      </c>
      <c r="C12" s="1">
        <f t="shared" si="0"/>
        <v>12.830000000000041</v>
      </c>
    </row>
    <row r="13" spans="1:5" x14ac:dyDescent="0.3">
      <c r="A13" s="2">
        <v>1993</v>
      </c>
      <c r="B13">
        <v>534.75</v>
      </c>
      <c r="C13" s="1">
        <f t="shared" si="0"/>
        <v>13.159999999999968</v>
      </c>
    </row>
    <row r="14" spans="1:5" x14ac:dyDescent="0.3">
      <c r="A14" s="2">
        <v>1994</v>
      </c>
      <c r="B14">
        <v>548.23</v>
      </c>
      <c r="C14" s="1">
        <f t="shared" si="0"/>
        <v>13.480000000000018</v>
      </c>
    </row>
    <row r="15" spans="1:5" x14ac:dyDescent="0.3">
      <c r="A15" s="2">
        <v>1995</v>
      </c>
      <c r="B15">
        <v>562.05999999999995</v>
      </c>
      <c r="C15" s="1">
        <f t="shared" si="0"/>
        <v>13.829999999999927</v>
      </c>
    </row>
    <row r="16" spans="1:5" x14ac:dyDescent="0.3">
      <c r="A16" s="2">
        <v>1996</v>
      </c>
      <c r="B16">
        <v>572.07000000000005</v>
      </c>
      <c r="C16" s="1">
        <f t="shared" si="0"/>
        <v>10.010000000000105</v>
      </c>
    </row>
    <row r="17" spans="1:3" x14ac:dyDescent="0.3">
      <c r="A17" s="2">
        <v>1997</v>
      </c>
      <c r="B17">
        <v>582.26</v>
      </c>
      <c r="C17" s="1">
        <f t="shared" si="0"/>
        <v>10.189999999999941</v>
      </c>
    </row>
    <row r="18" spans="1:3" x14ac:dyDescent="0.3">
      <c r="A18" s="2">
        <v>1998</v>
      </c>
      <c r="B18">
        <v>592.63</v>
      </c>
      <c r="C18" s="1">
        <f t="shared" si="0"/>
        <v>10.370000000000005</v>
      </c>
    </row>
    <row r="19" spans="1:3" x14ac:dyDescent="0.3">
      <c r="A19" s="2">
        <v>1999</v>
      </c>
      <c r="B19">
        <v>603.17999999999995</v>
      </c>
      <c r="C19" s="1">
        <f t="shared" si="0"/>
        <v>10.549999999999955</v>
      </c>
    </row>
    <row r="20" spans="1:3" x14ac:dyDescent="0.3">
      <c r="A20" s="2">
        <v>2000</v>
      </c>
      <c r="B20">
        <v>603.92999999999995</v>
      </c>
      <c r="C20" s="1">
        <f>B20-B19</f>
        <v>0.75</v>
      </c>
    </row>
    <row r="21" spans="1:3" x14ac:dyDescent="0.3">
      <c r="A21" s="2">
        <v>2001</v>
      </c>
      <c r="B21">
        <v>618.47</v>
      </c>
      <c r="C21" s="1">
        <f t="shared" si="0"/>
        <v>14.540000000000077</v>
      </c>
    </row>
    <row r="22" spans="1:3" x14ac:dyDescent="0.3">
      <c r="A22" s="2">
        <v>2002</v>
      </c>
      <c r="B22">
        <v>656.99</v>
      </c>
      <c r="C22" s="1">
        <f t="shared" si="0"/>
        <v>38.519999999999982</v>
      </c>
    </row>
    <row r="23" spans="1:3" x14ac:dyDescent="0.3">
      <c r="A23" s="2">
        <v>2003</v>
      </c>
      <c r="B23">
        <v>694.68</v>
      </c>
      <c r="C23" s="1">
        <f t="shared" si="0"/>
        <v>37.689999999999941</v>
      </c>
    </row>
    <row r="24" spans="1:3" x14ac:dyDescent="0.3">
      <c r="A24" s="2">
        <v>2004</v>
      </c>
      <c r="B24">
        <v>727.12</v>
      </c>
      <c r="C24" s="1">
        <f t="shared" si="0"/>
        <v>32.440000000000055</v>
      </c>
    </row>
    <row r="25" spans="1:3" x14ac:dyDescent="0.3">
      <c r="A25" s="2">
        <v>2005</v>
      </c>
      <c r="B25">
        <v>764.04</v>
      </c>
      <c r="C25" s="1">
        <f t="shared" si="0"/>
        <v>36.919999999999959</v>
      </c>
    </row>
    <row r="26" spans="1:3" x14ac:dyDescent="0.3">
      <c r="A26" s="2">
        <v>2006</v>
      </c>
      <c r="B26">
        <v>791.8</v>
      </c>
      <c r="C26" s="1">
        <f t="shared" si="0"/>
        <v>27.759999999999991</v>
      </c>
    </row>
    <row r="27" spans="1:3" x14ac:dyDescent="0.3">
      <c r="A27" s="2">
        <v>2007</v>
      </c>
      <c r="B27">
        <v>804.97</v>
      </c>
      <c r="C27" s="1">
        <f t="shared" si="0"/>
        <v>13.170000000000073</v>
      </c>
    </row>
    <row r="28" spans="1:3" x14ac:dyDescent="0.3">
      <c r="A28" s="2">
        <v>2008</v>
      </c>
      <c r="B28">
        <v>820.11</v>
      </c>
      <c r="C28" s="1">
        <f t="shared" si="0"/>
        <v>15.139999999999986</v>
      </c>
    </row>
    <row r="29" spans="1:3" x14ac:dyDescent="0.3">
      <c r="A29" s="2">
        <v>2009</v>
      </c>
      <c r="B29">
        <v>834.18</v>
      </c>
      <c r="C29" s="1">
        <f t="shared" si="0"/>
        <v>14.069999999999936</v>
      </c>
    </row>
    <row r="30" spans="1:3" x14ac:dyDescent="0.3">
      <c r="A30" s="2">
        <v>2010</v>
      </c>
      <c r="B30">
        <v>924.66</v>
      </c>
      <c r="C30" s="1">
        <f t="shared" si="0"/>
        <v>90.480000000000018</v>
      </c>
    </row>
    <row r="31" spans="1:3" x14ac:dyDescent="0.3">
      <c r="A31" s="2">
        <v>2011</v>
      </c>
      <c r="B31">
        <v>950.51933774211898</v>
      </c>
      <c r="C31" s="1">
        <f t="shared" si="0"/>
        <v>25.85933774211901</v>
      </c>
    </row>
    <row r="32" spans="1:3" x14ac:dyDescent="0.3">
      <c r="A32" s="2">
        <v>2012</v>
      </c>
      <c r="B32">
        <v>988.94675588336304</v>
      </c>
      <c r="C32" s="1">
        <f t="shared" si="0"/>
        <v>38.427418141244061</v>
      </c>
    </row>
    <row r="33" spans="1:3" x14ac:dyDescent="0.3">
      <c r="A33" s="2">
        <v>2013</v>
      </c>
      <c r="B33">
        <v>1027.5368000843</v>
      </c>
      <c r="C33" s="1">
        <f t="shared" si="0"/>
        <v>38.590044200936973</v>
      </c>
    </row>
    <row r="34" spans="1:3" x14ac:dyDescent="0.3">
      <c r="A34" s="2">
        <v>2014</v>
      </c>
      <c r="B34">
        <v>1070.13883030429</v>
      </c>
      <c r="C34" s="1">
        <f t="shared" si="0"/>
        <v>42.602030219989956</v>
      </c>
    </row>
    <row r="35" spans="1:3" x14ac:dyDescent="0.3">
      <c r="A35" s="2">
        <v>2015</v>
      </c>
      <c r="B35">
        <v>1116.2568933938501</v>
      </c>
      <c r="C35" s="1">
        <f t="shared" si="0"/>
        <v>46.11806308956011</v>
      </c>
    </row>
    <row r="36" spans="1:3" x14ac:dyDescent="0.3">
      <c r="A36" s="2">
        <v>2016</v>
      </c>
      <c r="B36">
        <v>1161.0087665287799</v>
      </c>
      <c r="C36" s="1">
        <f t="shared" si="0"/>
        <v>44.751873134929838</v>
      </c>
    </row>
    <row r="37" spans="1:3" x14ac:dyDescent="0.3">
      <c r="A37" s="2">
        <v>2017</v>
      </c>
      <c r="B37">
        <v>1213.61933283859</v>
      </c>
      <c r="C37" s="1">
        <f t="shared" si="0"/>
        <v>52.61056630981011</v>
      </c>
    </row>
    <row r="38" spans="1:3" x14ac:dyDescent="0.3">
      <c r="A38" s="2">
        <v>2018</v>
      </c>
      <c r="B38">
        <v>1249.74330989703</v>
      </c>
      <c r="C38" s="1">
        <f t="shared" si="0"/>
        <v>36.123977058440005</v>
      </c>
    </row>
    <row r="39" spans="1:3" x14ac:dyDescent="0.3">
      <c r="A39" s="2">
        <v>2019</v>
      </c>
      <c r="B39">
        <v>1272.0721121348099</v>
      </c>
      <c r="C39" s="1">
        <f t="shared" si="0"/>
        <v>22.328802237779882</v>
      </c>
    </row>
    <row r="40" spans="1:3" x14ac:dyDescent="0.3">
      <c r="A40" s="2">
        <v>2020</v>
      </c>
      <c r="B40">
        <v>1306.2827460000001</v>
      </c>
      <c r="C40" s="1">
        <f t="shared" si="0"/>
        <v>34.210633865190175</v>
      </c>
    </row>
    <row r="41" spans="1:3" x14ac:dyDescent="0.3">
      <c r="A41" s="2">
        <v>2021</v>
      </c>
      <c r="B41">
        <v>1327.93</v>
      </c>
      <c r="C41" s="1">
        <f t="shared" si="0"/>
        <v>21.647253999999975</v>
      </c>
    </row>
    <row r="42" spans="1:3" x14ac:dyDescent="0.3">
      <c r="A42" s="2">
        <v>2022</v>
      </c>
      <c r="B42">
        <v>1350.64</v>
      </c>
      <c r="C42" s="1">
        <f t="shared" si="0"/>
        <v>22.710000000000036</v>
      </c>
    </row>
    <row r="43" spans="1:3" x14ac:dyDescent="0.3">
      <c r="A43" s="2">
        <v>2023</v>
      </c>
      <c r="B43">
        <v>1368.05</v>
      </c>
      <c r="C43" s="1">
        <f t="shared" si="0"/>
        <v>17.409999999999854</v>
      </c>
    </row>
    <row r="44" spans="1:3" x14ac:dyDescent="0.3">
      <c r="A44" s="2">
        <v>2024</v>
      </c>
      <c r="B44">
        <v>1397.0279999772899</v>
      </c>
      <c r="C44" s="1">
        <f t="shared" si="0"/>
        <v>28.977999977289983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F32" sqref="F32"/>
    </sheetView>
  </sheetViews>
  <sheetFormatPr defaultRowHeight="14" x14ac:dyDescent="0.3"/>
  <cols>
    <col min="1" max="16384" width="8.7265625" style="5"/>
  </cols>
  <sheetData>
    <row r="1" spans="1:5" x14ac:dyDescent="0.3">
      <c r="A1" s="5" t="s">
        <v>0</v>
      </c>
      <c r="B1" s="5" t="s">
        <v>1</v>
      </c>
      <c r="C1" s="5" t="s">
        <v>2</v>
      </c>
    </row>
    <row r="2" spans="1:5" x14ac:dyDescent="0.3">
      <c r="A2" s="6">
        <v>1982</v>
      </c>
      <c r="B2" s="5">
        <v>1669.05</v>
      </c>
      <c r="D2" s="7">
        <f>MIN(B:B)</f>
        <v>1061.3076942795501</v>
      </c>
      <c r="E2" s="7">
        <f>MIN(C:C)</f>
        <v>-85.410000000000082</v>
      </c>
    </row>
    <row r="3" spans="1:5" x14ac:dyDescent="0.3">
      <c r="A3" s="6">
        <v>1983</v>
      </c>
      <c r="B3" s="5">
        <v>1674.93</v>
      </c>
      <c r="C3" s="7">
        <f>B3-B2</f>
        <v>5.8800000000001091</v>
      </c>
      <c r="D3" s="7">
        <f>MAX(B:B)</f>
        <v>1939.4</v>
      </c>
      <c r="E3" s="7">
        <f>MAX(C:C)</f>
        <v>40.680000000000064</v>
      </c>
    </row>
    <row r="4" spans="1:5" x14ac:dyDescent="0.3">
      <c r="A4" s="6">
        <v>1984</v>
      </c>
      <c r="B4" s="5">
        <v>1680.7</v>
      </c>
      <c r="C4" s="7">
        <f t="shared" ref="C4:C44" si="0">B4-B3</f>
        <v>5.7699999999999818</v>
      </c>
    </row>
    <row r="5" spans="1:5" x14ac:dyDescent="0.3">
      <c r="A5" s="6">
        <v>1985</v>
      </c>
      <c r="B5" s="5">
        <v>1686.18</v>
      </c>
      <c r="C5" s="7">
        <f t="shared" si="0"/>
        <v>5.4800000000000182</v>
      </c>
    </row>
    <row r="6" spans="1:5" x14ac:dyDescent="0.3">
      <c r="A6" s="6">
        <v>1986</v>
      </c>
      <c r="B6" s="5">
        <v>1695.81</v>
      </c>
      <c r="C6" s="7">
        <f t="shared" si="0"/>
        <v>9.6299999999998818</v>
      </c>
    </row>
    <row r="7" spans="1:5" x14ac:dyDescent="0.3">
      <c r="A7" s="6">
        <v>1987</v>
      </c>
      <c r="B7" s="5">
        <v>1701.85</v>
      </c>
      <c r="C7" s="7">
        <f t="shared" si="0"/>
        <v>6.0399999999999636</v>
      </c>
    </row>
    <row r="8" spans="1:5" x14ac:dyDescent="0.3">
      <c r="A8" s="6">
        <v>1988</v>
      </c>
      <c r="B8" s="5">
        <v>1708.46</v>
      </c>
      <c r="C8" s="7">
        <f t="shared" si="0"/>
        <v>6.6100000000001273</v>
      </c>
    </row>
    <row r="9" spans="1:5" x14ac:dyDescent="0.3">
      <c r="A9" s="6">
        <v>1989</v>
      </c>
      <c r="B9" s="5">
        <v>1717.74</v>
      </c>
      <c r="C9" s="7">
        <f t="shared" si="0"/>
        <v>9.2799999999999727</v>
      </c>
    </row>
    <row r="10" spans="1:5" x14ac:dyDescent="0.3">
      <c r="A10" s="6">
        <v>1990</v>
      </c>
      <c r="B10" s="5">
        <v>1758.42</v>
      </c>
      <c r="C10" s="7">
        <f t="shared" si="0"/>
        <v>40.680000000000064</v>
      </c>
    </row>
    <row r="11" spans="1:5" x14ac:dyDescent="0.3">
      <c r="A11" s="6">
        <v>1991</v>
      </c>
      <c r="B11" s="5">
        <v>1776.16</v>
      </c>
      <c r="C11" s="7">
        <f t="shared" si="0"/>
        <v>17.740000000000009</v>
      </c>
    </row>
    <row r="12" spans="1:5" x14ac:dyDescent="0.3">
      <c r="A12" s="6">
        <v>1992</v>
      </c>
      <c r="B12" s="5">
        <v>1792.6</v>
      </c>
      <c r="C12" s="7">
        <f t="shared" si="0"/>
        <v>16.439999999999827</v>
      </c>
    </row>
    <row r="13" spans="1:5" x14ac:dyDescent="0.3">
      <c r="A13" s="6">
        <v>1993</v>
      </c>
      <c r="B13" s="5">
        <v>1810.48</v>
      </c>
      <c r="C13" s="7">
        <f t="shared" si="0"/>
        <v>17.880000000000109</v>
      </c>
    </row>
    <row r="14" spans="1:5" x14ac:dyDescent="0.3">
      <c r="A14" s="6">
        <v>1994</v>
      </c>
      <c r="B14" s="5">
        <v>1839.02</v>
      </c>
      <c r="C14" s="7">
        <f t="shared" si="0"/>
        <v>28.539999999999964</v>
      </c>
    </row>
    <row r="15" spans="1:5" x14ac:dyDescent="0.3">
      <c r="A15" s="6">
        <v>1995</v>
      </c>
      <c r="B15" s="5">
        <v>1875.89</v>
      </c>
      <c r="C15" s="7">
        <f t="shared" si="0"/>
        <v>36.870000000000118</v>
      </c>
    </row>
    <row r="16" spans="1:5" x14ac:dyDescent="0.3">
      <c r="A16" s="6">
        <v>1996</v>
      </c>
      <c r="B16" s="5">
        <v>1894.79</v>
      </c>
      <c r="C16" s="7">
        <f t="shared" si="0"/>
        <v>18.899999999999864</v>
      </c>
    </row>
    <row r="17" spans="1:3" x14ac:dyDescent="0.3">
      <c r="A17" s="6">
        <v>1997</v>
      </c>
      <c r="B17" s="5">
        <v>1911.94</v>
      </c>
      <c r="C17" s="7">
        <f t="shared" si="0"/>
        <v>17.150000000000091</v>
      </c>
    </row>
    <row r="18" spans="1:3" x14ac:dyDescent="0.3">
      <c r="A18" s="6">
        <v>1998</v>
      </c>
      <c r="B18" s="5">
        <v>1926.74</v>
      </c>
      <c r="C18" s="7">
        <f t="shared" si="0"/>
        <v>14.799999999999955</v>
      </c>
    </row>
    <row r="19" spans="1:3" x14ac:dyDescent="0.3">
      <c r="A19" s="6">
        <v>1999</v>
      </c>
      <c r="B19" s="5">
        <v>1939.4</v>
      </c>
      <c r="C19" s="7">
        <f t="shared" si="0"/>
        <v>12.660000000000082</v>
      </c>
    </row>
    <row r="20" spans="1:3" x14ac:dyDescent="0.3">
      <c r="A20" s="6">
        <v>2000</v>
      </c>
      <c r="B20" s="5">
        <v>1911.38</v>
      </c>
      <c r="C20" s="7">
        <f t="shared" si="0"/>
        <v>-28.019999999999982</v>
      </c>
    </row>
    <row r="21" spans="1:3" x14ac:dyDescent="0.3">
      <c r="A21" s="6">
        <v>2001</v>
      </c>
      <c r="B21" s="5">
        <v>1904.88</v>
      </c>
      <c r="C21" s="7">
        <f t="shared" si="0"/>
        <v>-6.5</v>
      </c>
    </row>
    <row r="22" spans="1:3" x14ac:dyDescent="0.3">
      <c r="A22" s="6">
        <v>2002</v>
      </c>
      <c r="B22" s="5">
        <v>1873.77</v>
      </c>
      <c r="C22" s="7">
        <f t="shared" si="0"/>
        <v>-31.110000000000127</v>
      </c>
    </row>
    <row r="23" spans="1:3" x14ac:dyDescent="0.3">
      <c r="A23" s="6">
        <v>2003</v>
      </c>
      <c r="B23" s="5">
        <v>1842.51</v>
      </c>
      <c r="C23" s="7">
        <f t="shared" si="0"/>
        <v>-31.259999999999991</v>
      </c>
    </row>
    <row r="24" spans="1:3" x14ac:dyDescent="0.3">
      <c r="A24" s="6">
        <v>2004</v>
      </c>
      <c r="B24" s="5">
        <v>1814.36</v>
      </c>
      <c r="C24" s="7">
        <f t="shared" si="0"/>
        <v>-28.150000000000091</v>
      </c>
    </row>
    <row r="25" spans="1:3" x14ac:dyDescent="0.3">
      <c r="A25" s="6">
        <v>2005</v>
      </c>
      <c r="B25" s="5">
        <v>1781.06</v>
      </c>
      <c r="C25" s="7">
        <f t="shared" si="0"/>
        <v>-33.299999999999955</v>
      </c>
    </row>
    <row r="26" spans="1:3" x14ac:dyDescent="0.3">
      <c r="A26" s="6">
        <v>2006</v>
      </c>
      <c r="B26" s="5">
        <v>1754.99</v>
      </c>
      <c r="C26" s="7">
        <f t="shared" si="0"/>
        <v>-26.069999999999936</v>
      </c>
    </row>
    <row r="27" spans="1:3" x14ac:dyDescent="0.3">
      <c r="A27" s="6">
        <v>2007</v>
      </c>
      <c r="B27" s="5">
        <v>1743.22</v>
      </c>
      <c r="C27" s="7">
        <f t="shared" si="0"/>
        <v>-11.769999999999982</v>
      </c>
    </row>
    <row r="28" spans="1:3" x14ac:dyDescent="0.3">
      <c r="A28" s="6">
        <v>2008</v>
      </c>
      <c r="B28" s="5">
        <v>1730.77</v>
      </c>
      <c r="C28" s="7">
        <f t="shared" si="0"/>
        <v>-12.450000000000045</v>
      </c>
    </row>
    <row r="29" spans="1:3" x14ac:dyDescent="0.3">
      <c r="A29" s="6">
        <v>2009</v>
      </c>
      <c r="B29" s="5">
        <v>1720.73</v>
      </c>
      <c r="C29" s="7">
        <f t="shared" si="0"/>
        <v>-10.039999999999964</v>
      </c>
    </row>
    <row r="30" spans="1:3" x14ac:dyDescent="0.3">
      <c r="A30" s="6">
        <v>2010</v>
      </c>
      <c r="B30" s="5">
        <v>1635.32</v>
      </c>
      <c r="C30" s="7">
        <f t="shared" si="0"/>
        <v>-85.410000000000082</v>
      </c>
    </row>
    <row r="31" spans="1:3" x14ac:dyDescent="0.3">
      <c r="A31" s="6">
        <v>2011</v>
      </c>
      <c r="B31" s="5">
        <v>1601.21042800853</v>
      </c>
      <c r="C31" s="7">
        <f t="shared" si="0"/>
        <v>-34.10957199146992</v>
      </c>
    </row>
    <row r="32" spans="1:3" x14ac:dyDescent="0.3">
      <c r="A32" s="6">
        <v>2012</v>
      </c>
      <c r="B32" s="5">
        <v>1561.19959760649</v>
      </c>
      <c r="C32" s="7">
        <f t="shared" si="0"/>
        <v>-40.010830402040028</v>
      </c>
    </row>
    <row r="33" spans="1:3" x14ac:dyDescent="0.3">
      <c r="A33" s="6">
        <v>2013</v>
      </c>
      <c r="B33" s="5">
        <v>1509.59110135841</v>
      </c>
      <c r="C33" s="7">
        <f t="shared" si="0"/>
        <v>-51.608496248079973</v>
      </c>
    </row>
    <row r="34" spans="1:3" x14ac:dyDescent="0.3">
      <c r="A34" s="6">
        <v>2014</v>
      </c>
      <c r="B34" s="5">
        <v>1460.93692727445</v>
      </c>
      <c r="C34" s="7">
        <f t="shared" si="0"/>
        <v>-48.654174083960015</v>
      </c>
    </row>
    <row r="35" spans="1:3" x14ac:dyDescent="0.3">
      <c r="A35" s="6">
        <v>2015</v>
      </c>
      <c r="B35" s="5">
        <v>1406.9277661763299</v>
      </c>
      <c r="C35" s="7">
        <f t="shared" si="0"/>
        <v>-54.009161098120103</v>
      </c>
    </row>
    <row r="36" spans="1:3" x14ac:dyDescent="0.3">
      <c r="A36" s="6">
        <v>2016</v>
      </c>
      <c r="B36" s="5">
        <v>1359.08840414363</v>
      </c>
      <c r="C36" s="7">
        <f t="shared" si="0"/>
        <v>-47.83936203269991</v>
      </c>
    </row>
    <row r="37" spans="1:3" x14ac:dyDescent="0.3">
      <c r="A37" s="6">
        <v>2017</v>
      </c>
      <c r="B37" s="5">
        <v>1308.44910614435</v>
      </c>
      <c r="C37" s="7">
        <f t="shared" si="0"/>
        <v>-50.639297999279961</v>
      </c>
    </row>
    <row r="38" spans="1:3" x14ac:dyDescent="0.3">
      <c r="A38" s="6">
        <v>2018</v>
      </c>
      <c r="B38" s="5">
        <v>1265.33680661943</v>
      </c>
      <c r="C38" s="7">
        <f t="shared" si="0"/>
        <v>-43.11229952491999</v>
      </c>
    </row>
    <row r="39" spans="1:3" x14ac:dyDescent="0.3">
      <c r="A39" s="6">
        <v>2019</v>
      </c>
      <c r="B39" s="5">
        <v>1236.9458605176801</v>
      </c>
      <c r="C39" s="7">
        <f t="shared" si="0"/>
        <v>-28.390946101749932</v>
      </c>
    </row>
    <row r="40" spans="1:3" x14ac:dyDescent="0.3">
      <c r="A40" s="6">
        <v>2020</v>
      </c>
      <c r="B40" s="5">
        <v>1194.7372539999999</v>
      </c>
      <c r="C40" s="7">
        <f t="shared" si="0"/>
        <v>-42.208606517680209</v>
      </c>
    </row>
    <row r="41" spans="1:3" x14ac:dyDescent="0.3">
      <c r="A41" s="6">
        <v>2021</v>
      </c>
      <c r="B41" s="5">
        <v>1162.0899999999999</v>
      </c>
      <c r="C41" s="7">
        <f t="shared" si="0"/>
        <v>-32.647253999999975</v>
      </c>
    </row>
    <row r="42" spans="1:3" x14ac:dyDescent="0.3">
      <c r="A42" s="6">
        <v>2022</v>
      </c>
      <c r="B42" s="5">
        <v>1141.78</v>
      </c>
      <c r="C42" s="7">
        <f t="shared" si="0"/>
        <v>-20.309999999999945</v>
      </c>
    </row>
    <row r="43" spans="1:3" x14ac:dyDescent="0.3">
      <c r="A43" s="6">
        <v>2023</v>
      </c>
      <c r="B43" s="5">
        <v>1097.4290114087701</v>
      </c>
      <c r="C43" s="7">
        <f t="shared" si="0"/>
        <v>-44.350988591229907</v>
      </c>
    </row>
    <row r="44" spans="1:3" x14ac:dyDescent="0.3">
      <c r="A44" s="6">
        <v>2024</v>
      </c>
      <c r="B44" s="5">
        <v>1061.3076942795501</v>
      </c>
      <c r="C44" s="7">
        <f t="shared" si="0"/>
        <v>-36.12131712921996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J3" sqref="J3"/>
    </sheetView>
  </sheetViews>
  <sheetFormatPr defaultRowHeight="14" x14ac:dyDescent="0.3"/>
  <sheetData>
    <row r="1" spans="1:9" x14ac:dyDescent="0.3">
      <c r="A1" t="s">
        <v>3</v>
      </c>
      <c r="B1" t="s">
        <v>1</v>
      </c>
      <c r="C1" t="s">
        <v>4</v>
      </c>
    </row>
    <row r="2" spans="1:9" x14ac:dyDescent="0.3">
      <c r="A2" s="2">
        <v>1982</v>
      </c>
      <c r="B2">
        <v>110.316208922963</v>
      </c>
      <c r="C2">
        <v>8.9200000000000017</v>
      </c>
      <c r="D2" s="1">
        <f>MIN(B:B)</f>
        <v>110.316208922963</v>
      </c>
      <c r="E2" s="4">
        <f>MIN(C:C)</f>
        <v>3.2851060006150021</v>
      </c>
      <c r="G2">
        <v>0</v>
      </c>
      <c r="H2">
        <v>600</v>
      </c>
      <c r="I2">
        <v>6000</v>
      </c>
    </row>
    <row r="3" spans="1:9" x14ac:dyDescent="0.3">
      <c r="A3" s="2">
        <v>1983</v>
      </c>
      <c r="B3">
        <v>126.709197568915</v>
      </c>
      <c r="C3">
        <v>14.86</v>
      </c>
      <c r="D3" s="1">
        <f>MAX(B:B)</f>
        <v>5097.0460571263802</v>
      </c>
      <c r="E3" s="4">
        <f>MAX(C:C)</f>
        <v>14.86</v>
      </c>
      <c r="G3">
        <v>0</v>
      </c>
      <c r="H3">
        <v>2</v>
      </c>
      <c r="I3">
        <v>20</v>
      </c>
    </row>
    <row r="4" spans="1:9" x14ac:dyDescent="0.3">
      <c r="A4" s="2">
        <v>1984</v>
      </c>
      <c r="B4">
        <v>144.14438315439801</v>
      </c>
      <c r="C4">
        <v>13.760000000000005</v>
      </c>
    </row>
    <row r="5" spans="1:9" x14ac:dyDescent="0.3">
      <c r="A5" s="2">
        <v>1985</v>
      </c>
      <c r="B5">
        <v>163.157027292463</v>
      </c>
      <c r="C5">
        <v>13.189999999999998</v>
      </c>
    </row>
    <row r="6" spans="1:9" x14ac:dyDescent="0.3">
      <c r="A6" s="2">
        <v>1986</v>
      </c>
      <c r="B6">
        <v>181.15324740282199</v>
      </c>
      <c r="C6">
        <v>11.030000000000001</v>
      </c>
    </row>
    <row r="7" spans="1:9" x14ac:dyDescent="0.3">
      <c r="A7" s="2">
        <v>1987</v>
      </c>
      <c r="B7">
        <v>197.31211707115401</v>
      </c>
      <c r="C7">
        <v>8.9200000000000017</v>
      </c>
    </row>
    <row r="8" spans="1:9" x14ac:dyDescent="0.3">
      <c r="A8" s="2">
        <v>1988</v>
      </c>
      <c r="B8">
        <v>224.245221051367</v>
      </c>
      <c r="C8">
        <v>13.650000000000006</v>
      </c>
    </row>
    <row r="9" spans="1:9" x14ac:dyDescent="0.3">
      <c r="A9" s="2">
        <v>1989</v>
      </c>
      <c r="B9">
        <v>243.86667789336201</v>
      </c>
      <c r="C9">
        <v>8.75</v>
      </c>
    </row>
    <row r="10" spans="1:9" x14ac:dyDescent="0.3">
      <c r="A10" s="2">
        <v>1990</v>
      </c>
      <c r="B10">
        <v>257.596371858758</v>
      </c>
      <c r="C10">
        <v>5.6299999999999955</v>
      </c>
    </row>
    <row r="11" spans="1:9" x14ac:dyDescent="0.3">
      <c r="A11" s="2">
        <v>1991</v>
      </c>
      <c r="B11">
        <v>275.17073834213897</v>
      </c>
      <c r="C11">
        <v>6.8224433273529996</v>
      </c>
    </row>
    <row r="12" spans="1:9" x14ac:dyDescent="0.3">
      <c r="A12" s="2">
        <v>1992</v>
      </c>
      <c r="B12">
        <v>302.35385879163402</v>
      </c>
      <c r="C12">
        <v>9.8786377553330027</v>
      </c>
    </row>
    <row r="13" spans="1:9" x14ac:dyDescent="0.3">
      <c r="A13" s="2">
        <v>1993</v>
      </c>
      <c r="B13">
        <v>337.31739802058598</v>
      </c>
      <c r="C13">
        <v>11.56378138142</v>
      </c>
    </row>
    <row r="14" spans="1:9" x14ac:dyDescent="0.3">
      <c r="A14" s="2">
        <v>1994</v>
      </c>
      <c r="B14">
        <v>373.69439035420999</v>
      </c>
      <c r="C14">
        <v>10.784202815238004</v>
      </c>
    </row>
    <row r="15" spans="1:9" x14ac:dyDescent="0.3">
      <c r="A15" s="2">
        <v>1995</v>
      </c>
      <c r="B15">
        <v>412.466777645489</v>
      </c>
      <c r="C15">
        <v>10.375426629906997</v>
      </c>
    </row>
    <row r="16" spans="1:9" x14ac:dyDescent="0.3">
      <c r="A16" s="2">
        <v>1996</v>
      </c>
      <c r="B16">
        <v>461.81546678180899</v>
      </c>
      <c r="C16">
        <v>11.964282170317006</v>
      </c>
    </row>
    <row r="17" spans="1:3" x14ac:dyDescent="0.3">
      <c r="A17" s="2">
        <v>1997</v>
      </c>
      <c r="B17">
        <v>503.87766220257498</v>
      </c>
      <c r="C17">
        <v>9.1080092474769998</v>
      </c>
    </row>
    <row r="18" spans="1:3" x14ac:dyDescent="0.3">
      <c r="A18" s="2">
        <v>1998</v>
      </c>
      <c r="B18">
        <v>552.98072412261604</v>
      </c>
      <c r="C18">
        <v>9.7450364648830003</v>
      </c>
    </row>
    <row r="19" spans="1:3" x14ac:dyDescent="0.3">
      <c r="A19" s="2">
        <v>1999</v>
      </c>
      <c r="B19">
        <v>603.06589765183799</v>
      </c>
      <c r="C19">
        <v>9.0573091148319946</v>
      </c>
    </row>
    <row r="20" spans="1:3" x14ac:dyDescent="0.3">
      <c r="A20" s="2">
        <v>2000</v>
      </c>
      <c r="B20">
        <v>661.78622110492302</v>
      </c>
      <c r="C20">
        <v>9.7369663384589984</v>
      </c>
    </row>
    <row r="21" spans="1:3" x14ac:dyDescent="0.3">
      <c r="A21" s="2">
        <v>2001</v>
      </c>
      <c r="B21">
        <v>726.34009334952498</v>
      </c>
      <c r="C21">
        <v>9.7544902244750062</v>
      </c>
    </row>
    <row r="22" spans="1:3" x14ac:dyDescent="0.3">
      <c r="A22" s="2">
        <v>2002</v>
      </c>
      <c r="B22">
        <v>799.92870338284501</v>
      </c>
      <c r="C22">
        <v>10.131426133171999</v>
      </c>
    </row>
    <row r="23" spans="1:3" x14ac:dyDescent="0.3">
      <c r="A23" s="2">
        <v>2003</v>
      </c>
      <c r="B23">
        <v>891.15962635578296</v>
      </c>
      <c r="C23">
        <v>11.404881783479993</v>
      </c>
    </row>
    <row r="24" spans="1:3" x14ac:dyDescent="0.3">
      <c r="A24" s="2">
        <v>2004</v>
      </c>
      <c r="B24">
        <v>987.55082863205496</v>
      </c>
      <c r="C24">
        <v>10.816378954513993</v>
      </c>
    </row>
    <row r="25" spans="1:3" x14ac:dyDescent="0.3">
      <c r="A25" s="2">
        <v>2005</v>
      </c>
      <c r="B25">
        <v>1104.65669996016</v>
      </c>
      <c r="C25">
        <v>11.858212046697005</v>
      </c>
    </row>
    <row r="26" spans="1:3" x14ac:dyDescent="0.3">
      <c r="A26" s="2">
        <v>2006</v>
      </c>
      <c r="B26">
        <v>1240.2471547981499</v>
      </c>
      <c r="C26">
        <v>12.274442805885002</v>
      </c>
    </row>
    <row r="27" spans="1:3" x14ac:dyDescent="0.3">
      <c r="A27" s="2">
        <v>2007</v>
      </c>
      <c r="B27">
        <v>1390.27848588192</v>
      </c>
      <c r="C27">
        <v>12.096889761314003</v>
      </c>
    </row>
    <row r="28" spans="1:3" x14ac:dyDescent="0.3">
      <c r="A28" s="2">
        <v>2008</v>
      </c>
      <c r="B28">
        <v>1529.8154026176501</v>
      </c>
      <c r="C28">
        <v>10.036616271683002</v>
      </c>
    </row>
    <row r="29" spans="1:3" x14ac:dyDescent="0.3">
      <c r="A29" s="2">
        <v>2009</v>
      </c>
      <c r="B29">
        <v>1684.59521290114</v>
      </c>
      <c r="C29">
        <v>10.117548170755995</v>
      </c>
    </row>
    <row r="30" spans="1:3" x14ac:dyDescent="0.3">
      <c r="A30" s="2">
        <v>2010</v>
      </c>
      <c r="B30">
        <v>1880.8902265579</v>
      </c>
      <c r="C30">
        <v>11.652354948742001</v>
      </c>
    </row>
    <row r="31" spans="1:3" x14ac:dyDescent="0.3">
      <c r="A31" s="2">
        <v>2011</v>
      </c>
      <c r="B31">
        <v>2129.6278966934201</v>
      </c>
      <c r="C31">
        <v>13.224465023177999</v>
      </c>
    </row>
    <row r="32" spans="1:3" x14ac:dyDescent="0.3">
      <c r="A32" s="2">
        <v>2012</v>
      </c>
      <c r="B32">
        <v>2374.1727140197299</v>
      </c>
      <c r="C32">
        <v>11.482983374982993</v>
      </c>
    </row>
    <row r="33" spans="1:3" x14ac:dyDescent="0.3">
      <c r="A33" s="2">
        <v>2013</v>
      </c>
      <c r="B33">
        <v>2637.6129845331898</v>
      </c>
      <c r="C33">
        <v>11.096087026769993</v>
      </c>
    </row>
    <row r="34" spans="1:3" x14ac:dyDescent="0.3">
      <c r="A34" s="2">
        <v>2014</v>
      </c>
      <c r="B34">
        <v>2869.3643694452899</v>
      </c>
      <c r="C34">
        <v>8.7864059765809941</v>
      </c>
    </row>
    <row r="35" spans="1:3" x14ac:dyDescent="0.3">
      <c r="A35" s="2">
        <v>2015</v>
      </c>
      <c r="B35">
        <v>3100.0803318306198</v>
      </c>
      <c r="C35">
        <v>8.040664505425994</v>
      </c>
    </row>
    <row r="36" spans="1:3" x14ac:dyDescent="0.3">
      <c r="A36" s="2">
        <v>2016</v>
      </c>
      <c r="B36">
        <v>3335.6269045427898</v>
      </c>
      <c r="C36">
        <v>7.5980796463129963</v>
      </c>
    </row>
    <row r="37" spans="1:3" x14ac:dyDescent="0.3">
      <c r="A37" s="2">
        <v>2017</v>
      </c>
      <c r="B37">
        <v>3445.2057841420501</v>
      </c>
      <c r="C37">
        <v>3.2851060006150021</v>
      </c>
    </row>
    <row r="38" spans="1:3" x14ac:dyDescent="0.3">
      <c r="A38" s="2">
        <v>2018</v>
      </c>
      <c r="B38">
        <v>3648.0891219662899</v>
      </c>
      <c r="C38">
        <v>5.888859781847998</v>
      </c>
    </row>
    <row r="39" spans="1:3" x14ac:dyDescent="0.3">
      <c r="A39" s="2">
        <v>2019</v>
      </c>
      <c r="B39">
        <v>3882.40539306656</v>
      </c>
      <c r="C39">
        <v>6.4229864804940036</v>
      </c>
    </row>
    <row r="40" spans="1:3" x14ac:dyDescent="0.3">
      <c r="A40" s="2">
        <v>2020</v>
      </c>
      <c r="B40">
        <v>4038.4578251675098</v>
      </c>
      <c r="C40">
        <v>4.0194780374980041</v>
      </c>
    </row>
    <row r="41" spans="1:3" x14ac:dyDescent="0.3">
      <c r="A41" s="2">
        <v>2021</v>
      </c>
      <c r="B41">
        <v>4325.0874020199599</v>
      </c>
      <c r="C41">
        <v>7.0975008099919989</v>
      </c>
    </row>
    <row r="42" spans="1:3" x14ac:dyDescent="0.3">
      <c r="A42" s="2">
        <v>2022</v>
      </c>
      <c r="B42">
        <v>4522.7766982150197</v>
      </c>
      <c r="C42">
        <v>4.5707584106330046</v>
      </c>
    </row>
    <row r="43" spans="1:3" x14ac:dyDescent="0.3">
      <c r="A43" s="2">
        <v>2023</v>
      </c>
      <c r="B43">
        <v>4819.57001715765</v>
      </c>
      <c r="C43">
        <v>6.5621926251580049</v>
      </c>
    </row>
    <row r="44" spans="1:3" x14ac:dyDescent="0.3">
      <c r="A44" s="2">
        <v>2024</v>
      </c>
      <c r="B44">
        <v>5097.0460571263802</v>
      </c>
      <c r="C44">
        <v>5.7572779102890053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常住人口</vt:lpstr>
      <vt:lpstr>城镇常住人口</vt:lpstr>
      <vt:lpstr>农村常住人口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zxc</dc:creator>
  <cp:lastModifiedBy>zxc</cp:lastModifiedBy>
  <dcterms:created xsi:type="dcterms:W3CDTF">2025-11-22T13:22:29Z</dcterms:created>
  <dcterms:modified xsi:type="dcterms:W3CDTF">2026-02-12T13:20:49Z</dcterms:modified>
</cp:coreProperties>
</file>